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19e4fc136445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roval flow" sheetId="1" r:id="R344cd9a99ffb4ce1"/>
    <x:sheet xmlns:r="http://schemas.openxmlformats.org/officeDocument/2006/relationships" name="Timing examples" sheetId="2" r:id="R8675fe23f6254e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d, mmm d, h:mm AM/PM"/>
  </x:numFmts>
  <x:fonts count="5">
    <x:font>
      <x:sz val="11"/>
      <x:name val="Carlito"/>
    </x:font>
    <x:font>
      <x:sz val="11"/>
      <x:color rgb="FF253344"/>
      <x:name val="Arial"/>
    </x:font>
    <x:font>
      <x:b/>
      <x:sz val="16"/>
      <x:color rgb="FF253344"/>
      <x:name val="Arial"/>
    </x:font>
    <x:font>
      <x:b/>
      <x:sz val="11"/>
      <x:color rgb="FF253344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D63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33D63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e1825612bd4e7c" /><Relationship Type="http://schemas.openxmlformats.org/officeDocument/2006/relationships/theme" Target="/xl/theme/theme1.xml" Id="Rb2f857ca1eed4821" /><Relationship Type="http://schemas.openxmlformats.org/officeDocument/2006/relationships/sharedStrings" Target="/xl/sharedStrings.xml" Id="R1832e685822446cc" /><Relationship Type="http://schemas.openxmlformats.org/officeDocument/2006/relationships/worksheet" Target="/xl/worksheets/sheet1.xml" Id="R344cd9a99ffb4ce1" /><Relationship Type="http://schemas.openxmlformats.org/officeDocument/2006/relationships/worksheet" Target="/xl/worksheets/sheet2.xml" Id="R8675fe23f6254e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3D63"/>
  </x:sheetPr>
  <x:sheetViews>
    <x:sheetView showGridLines="0" workbookViewId="0"/>
  </x:sheetViews>
  <x:sheetFormatPr defaultRowHeight="15"/>
  <x:cols>
    <x:col min="1" max="1" width="29" hidden="0" customWidth="1"/>
    <x:col min="2" max="2" width="39" hidden="0" customWidth="1"/>
    <x:col min="3" max="3" width="39" hidden="0" customWidth="1"/>
    <x:col min="4" max="4" width="34" hidden="0" customWidth="1"/>
    <x:col min="5" max="5" width="36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Purchasing approval reminders</x:v>
      </x:c>
      <x:c r="B2" s="2"/>
      <x:c r="C2" s="2"/>
      <x:c r="D2" s="2"/>
      <x:c r="E2" s="2"/>
      <x:c r="F2" s="2"/>
      <x:c r="G2" s="2"/>
    </x:row>
    <x:row r="3">
      <x:c r="A3" s="4"/>
      <x:c r="B3" s="4"/>
      <x:c r="C3" s="4"/>
      <x:c r="D3" s="4"/>
      <x:c r="E3" s="4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32" customHeight="1">
      <x:c r="A5" s="8" t="str">
        <x:v>Document / stage</x:v>
      </x:c>
      <x:c r="B5" s="8" t="str">
        <x:v>Sequence starts when</x:v>
      </x:c>
      <x:c r="C5" s="8" t="str">
        <x:v>To recipients</x:v>
      </x:c>
      <x:c r="D5" s="8" t="str">
        <x:v>EOD CC recipients</x:v>
      </x:c>
      <x:c r="E5" s="8" t="str">
        <x:v>Sequence stops when</x:v>
      </x:c>
      <x:c r="F5" s="2"/>
      <x:c r="G5" s="2"/>
    </x:row>
    <x:row r="6" ht="56" customHeight="1">
      <x:c r="A6" s="6" t="str">
        <x:v>PR / Department Manager</x:v>
      </x:c>
      <x:c r="B6" s="6" t="str">
        <x:v>New PR awaits approval</x:v>
      </x:c>
      <x:c r="C6" s="6" t="str">
        <x:v>All Department Managers + creator’s immediate head</x:v>
      </x:c>
      <x:c r="D6" s="6" t="str">
        <x:v>Finance Manager, AP Staff, General Accountant</x:v>
      </x:c>
      <x:c r="E6" s="6" t="str">
        <x:v>PR approved, disapproved or deleted</x:v>
      </x:c>
      <x:c r="F6" s="2"/>
      <x:c r="G6" s="2"/>
    </x:row>
    <x:row r="7" ht="56" customHeight="1">
      <x:c r="A7" s="6" t="str">
        <x:v>AOQ / Finance Manager</x:v>
      </x:c>
      <x:c r="B7" s="6" t="str">
        <x:v>New AOQ awaits approval</x:v>
      </x:c>
      <x:c r="C7" s="6" t="str">
        <x:v>All Finance Managers + creator’s immediate head</x:v>
      </x:c>
      <x:c r="D7" s="6" t="str">
        <x:v>Finance Manager, AP Staff, General Accountant</x:v>
      </x:c>
      <x:c r="E7" s="6" t="str">
        <x:v>AOQ approved, disapproved or deleted</x:v>
      </x:c>
      <x:c r="F7" s="2"/>
      <x:c r="G7" s="2"/>
    </x:row>
    <x:row r="8" ht="56" customHeight="1">
      <x:c r="A8" s="6" t="str">
        <x:v>PO / Department Director</x:v>
      </x:c>
      <x:c r="B8" s="6" t="str">
        <x:v>New PO awaits approval</x:v>
      </x:c>
      <x:c r="C8" s="6" t="str">
        <x:v>All Department Directors + creator’s immediate head</x:v>
      </x:c>
      <x:c r="D8" s="6" t="str">
        <x:v>Finance Manager, AP Staff, General Accountant</x:v>
      </x:c>
      <x:c r="E8" s="6" t="str">
        <x:v>PO approved at this level, disapproved or deleted</x:v>
      </x:c>
      <x:c r="F8" s="2"/>
      <x:c r="G8" s="2"/>
    </x:row>
    <x:row r="9" ht="56" customHeight="1">
      <x:c r="A9" s="6" t="str">
        <x:v>PO / President or CEO</x:v>
      </x:c>
      <x:c r="B9" s="6" t="str">
        <x:v>Department Director approves a PO above ₱50,000</x:v>
      </x:c>
      <x:c r="C9" s="6" t="str">
        <x:v>All Presidents + creator’s immediate head</x:v>
      </x:c>
      <x:c r="D9" s="6" t="str">
        <x:v>Finance Manager, AP Staff, General Accountant</x:v>
      </x:c>
      <x:c r="E9" s="6" t="str">
        <x:v>PO approved, disapproved or deleted</x:v>
      </x:c>
      <x:c r="F9" s="2"/>
      <x:c r="G9" s="2"/>
    </x:row>
    <x:row r="10" ht="56" customHeight="1">
      <x:c r="A10" s="6" t="str">
        <x:v>PO close / Finance Director</x:v>
      </x:c>
      <x:c r="B10" s="6" t="str">
        <x:v>Request to close an open PO is submitted</x:v>
      </x:c>
      <x:c r="C10" s="6" t="str">
        <x:v>All Finance Directors + creator’s immediate head</x:v>
      </x:c>
      <x:c r="D10" s="6" t="str">
        <x:v>Finance Manager, AP Staff, General Accountant</x:v>
      </x:c>
      <x:c r="E10" s="6" t="str">
        <x:v>Close request resolved or PO deleted</x:v>
      </x:c>
      <x:c r="F10" s="2"/>
      <x:c r="G10" s="2"/>
    </x:row>
    <x:row r="11" ht="56" customHeight="1">
      <x:c r="A11" s="6" t="str">
        <x:v>Receipt note / Department Manager</x:v>
      </x:c>
      <x:c r="B11" s="6" t="str">
        <x:v>New receipt note awaits approval</x:v>
      </x:c>
      <x:c r="C11" s="6" t="str">
        <x:v>All Department Managers + creator’s immediate head</x:v>
      </x:c>
      <x:c r="D11" s="6" t="str">
        <x:v>Finance Manager, AP Staff, General Accountant</x:v>
      </x:c>
      <x:c r="E11" s="6" t="str">
        <x:v>Receipt note approved, disapproved or deleted</x:v>
      </x:c>
      <x:c r="F11" s="2"/>
      <x:c r="G11" s="2"/>
    </x:row>
    <x:row r="12">
      <x:c r="A12" s="2"/>
      <x:c r="B12" s="2"/>
      <x:c r="C12" s="2"/>
      <x:c r="D12" s="2"/>
      <x:c r="E12" s="2"/>
      <x:c r="F12" s="2"/>
      <x:c r="G12" s="2"/>
    </x:row>
    <x:row r="13">
      <x:c r="A13" s="2"/>
      <x:c r="B13" s="2"/>
      <x:c r="C13" s="2"/>
      <x:c r="D13" s="2"/>
      <x:c r="E13" s="2"/>
      <x:c r="F13" s="2"/>
      <x:c r="G13" s="2"/>
    </x:row>
    <x:row r="14" ht="32" customHeight="1">
      <x:c r="A14" s="10" t="str">
        <x:v>Delivery</x:v>
      </x:c>
      <x:c r="B14" s="10" t="str">
        <x:v>Rule</x:v>
      </x:c>
      <x:c r="C14" s="2"/>
      <x:c r="D14" s="2"/>
      <x:c r="E14" s="2"/>
      <x:c r="F14" s="2"/>
      <x:c r="G14" s="2"/>
    </x:row>
    <x:row r="15" ht="38" customHeight="1">
      <x:c r="A15" s="5" t="str">
        <x:v>First</x:v>
      </x:c>
      <x:c r="B15" s="6" t="str">
        <x:v>Immediately during business hours; otherwise next business opening</x:v>
      </x:c>
      <x:c r="C15" s="6"/>
      <x:c r="D15" s="6"/>
      <x:c r="E15" s="6"/>
      <x:c r="F15" s="2"/>
      <x:c r="G15" s="2"/>
    </x:row>
    <x:row r="16" ht="38" customHeight="1">
      <x:c r="A16" s="5" t="str">
        <x:v>Second</x:v>
      </x:c>
      <x:c r="B16" s="6" t="str">
        <x:v>Before 1 PM: floored hour + 4 hours. From 1 PM: next business day at 8 AM</x:v>
      </x:c>
      <x:c r="C16" s="6"/>
      <x:c r="D16" s="6"/>
      <x:c r="E16" s="6"/>
      <x:c r="F16" s="2"/>
      <x:c r="G16" s="2"/>
    </x:row>
    <x:row r="17" ht="38" customHeight="1">
      <x:c r="A17" s="5" t="str">
        <x:v>Third / EOD</x:v>
      </x:c>
      <x:c r="B17" s="6" t="str">
        <x:v>5 PM on the second reminder’s business day, with escalation CC</x:v>
      </x:c>
      <x:c r="C17" s="6"/>
      <x:c r="D17" s="6"/>
      <x:c r="E17" s="6"/>
      <x:c r="F17" s="2"/>
      <x:c r="G17" s="2"/>
    </x:row>
    <x:row r="18" ht="38" customHeight="1">
      <x:c r="A18" s="5" t="str">
        <x:v>Daily EOD</x:v>
      </x:c>
      <x:c r="B18" s="6" t="str">
        <x:v>Repeat at 5 PM each business day while approval remains pending</x:v>
      </x:c>
      <x:c r="C18" s="6"/>
      <x:c r="D18" s="6"/>
      <x:c r="E18" s="6"/>
      <x:c r="F18" s="2"/>
      <x:c r="G18" s="2"/>
    </x:row>
    <x:row r="19" ht="38" customHeight="1">
      <x:c r="A19" s="5" t="str">
        <x:v>Recipients</x:v>
      </x:c>
      <x:c r="B19" s="6" t="str">
        <x:v>Active users with valid emails only; duplicate To/CC addresses removed</x:v>
      </x:c>
      <x:c r="C19" s="6"/>
      <x:c r="D19" s="6"/>
      <x:c r="E19" s="6"/>
      <x:c r="F19" s="2"/>
      <x:c r="G19" s="2"/>
    </x:row>
    <x:row r="20" ht="38" customHeight="1">
      <x:c r="A20" s="5" t="str">
        <x:v>Rollout</x:v>
      </x:c>
      <x:c r="B20" s="6" t="str">
        <x:v>New stage entries only. UAT logs messages; production sends after AP Staff role confirmation</x:v>
      </x:c>
      <x:c r="C20" s="6"/>
      <x:c r="D20" s="6"/>
      <x:c r="E20" s="6"/>
      <x:c r="F20" s="2"/>
      <x:c r="G20" s="2"/>
    </x:row>
    <x:row r="21">
      <x:c r="A21" s="2"/>
      <x:c r="B21" s="2"/>
      <x:c r="C21" s="2"/>
      <x:c r="D21" s="2"/>
      <x:c r="E21" s="2"/>
      <x:c r="F21" s="2"/>
      <x:c r="G21" s="2"/>
    </x:row>
    <x:row r="22">
      <x:c r="A22" s="2"/>
      <x:c r="B22" s="2"/>
      <x:c r="C22" s="2"/>
      <x:c r="D22" s="2"/>
      <x:c r="E22" s="2"/>
      <x:c r="F22" s="2"/>
      <x:c r="G22" s="2"/>
    </x:row>
    <x:row r="23">
      <x:c r="A23" s="2"/>
      <x:c r="B23" s="2"/>
      <x:c r="C23" s="2"/>
      <x:c r="D23" s="2"/>
      <x:c r="E23" s="2"/>
      <x:c r="F23" s="2"/>
      <x:c r="G23" s="2"/>
    </x:row>
    <x:row r="24">
      <x:c r="A24" s="2"/>
      <x:c r="B24" s="2"/>
      <x:c r="C24" s="2"/>
      <x:c r="D24" s="2"/>
      <x:c r="E24" s="2"/>
      <x:c r="F24" s="2"/>
      <x:c r="G24" s="2"/>
    </x:row>
    <x:row r="25">
      <x:c r="A25" s="2"/>
      <x:c r="B25" s="2"/>
      <x:c r="C25" s="2"/>
      <x:c r="D25" s="2"/>
      <x:c r="E25" s="2"/>
      <x:c r="F25" s="2"/>
      <x:c r="G25" s="2"/>
    </x:row>
    <x:row r="26">
      <x:c r="A26" s="2"/>
      <x:c r="B26" s="2"/>
      <x:c r="C26" s="2"/>
      <x:c r="D26" s="2"/>
      <x:c r="E26" s="2"/>
      <x:c r="F26" s="2"/>
      <x:c r="G26" s="2"/>
    </x:row>
    <x:row r="27">
      <x:c r="A27" s="2"/>
      <x:c r="B27" s="2"/>
      <x:c r="C27" s="2"/>
      <x:c r="D27" s="2"/>
      <x:c r="E27" s="2"/>
      <x:c r="F27" s="2"/>
      <x:c r="G27" s="2"/>
    </x:row>
    <x:row r="28">
      <x:c r="A28" s="2"/>
      <x:c r="B28" s="2"/>
      <x:c r="C28" s="2"/>
      <x:c r="D28" s="2"/>
      <x:c r="E28" s="2"/>
      <x:c r="F28" s="2"/>
      <x:c r="G28" s="2"/>
    </x:row>
    <x:row r="29">
      <x:c r="A29" s="2"/>
      <x:c r="B29" s="2"/>
      <x:c r="C29" s="2"/>
      <x:c r="D29" s="2"/>
      <x:c r="E29" s="2"/>
      <x:c r="F29" s="2"/>
      <x:c r="G29" s="2"/>
    </x:row>
    <x:row r="30">
      <x:c r="A30" s="2"/>
      <x:c r="B30" s="2"/>
      <x:c r="C30" s="2"/>
      <x:c r="D30" s="2"/>
      <x:c r="E30" s="2"/>
      <x:c r="F30" s="2"/>
      <x:c r="G30" s="2"/>
    </x:row>
  </x:sheetData>
  <x:mergeCells>
    <x:mergeCell ref="B15:E15"/>
    <x:mergeCell ref="B16:E16"/>
    <x:mergeCell ref="B17:E17"/>
    <x:mergeCell ref="B18:E18"/>
    <x:mergeCell ref="B19:E19"/>
    <x:mergeCell ref="B20:E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5749D"/>
  </x:sheetPr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Reminder timing examples</x:v>
      </x:c>
      <x:c r="B2" s="2"/>
      <x:c r="C2" s="2"/>
      <x:c r="D2" s="2"/>
      <x:c r="E2" s="2"/>
      <x:c r="F2" s="2"/>
      <x:c r="G2" s="2"/>
    </x:row>
    <x:row r="3">
      <x:c r="A3" s="4"/>
      <x:c r="B3" s="4"/>
      <x:c r="C3" s="4"/>
      <x:c r="D3" s="4"/>
      <x:c r="E3" s="4"/>
      <x:c r="F3" s="4"/>
      <x:c r="G3" s="4"/>
    </x:row>
    <x:row r="4">
      <x:c r="A4" s="2" t="str">
        <x:v>Manila time. Monday–Friday, 8 AM–5 PM. Holidays count as business days.</x:v>
      </x:c>
      <x:c r="B4" s="2"/>
      <x:c r="C4" s="2"/>
      <x:c r="D4" s="2"/>
      <x:c r="E4" s="2"/>
      <x:c r="F4" s="2"/>
      <x:c r="G4" s="2"/>
    </x:row>
    <x:row r="5">
      <x:c r="A5" s="2" t="str">
        <x:v>Edit the yellow stage-entry cells to recalculate the reminder times.</x:v>
      </x:c>
      <x:c r="B5" s="2"/>
      <x:c r="C5" s="2"/>
      <x:c r="D5" s="2"/>
      <x:c r="E5" s="2"/>
      <x:c r="F5" s="2"/>
      <x:c r="G5" s="2"/>
    </x:row>
    <x:row r="6">
      <x:c r="A6" s="2"/>
      <x:c r="B6" s="2"/>
      <x:c r="C6" s="2"/>
      <x:c r="D6" s="2"/>
      <x:c r="E6" s="2"/>
      <x:c r="F6" s="2"/>
      <x:c r="G6" s="2"/>
    </x:row>
    <x:row r="7" ht="42" customHeight="1">
      <x:c r="A7" s="8" t="str">
        <x:v>Scenario</x:v>
      </x:c>
      <x:c r="B7" s="8" t="str">
        <x:v>Stage entered (editable)</x:v>
      </x:c>
      <x:c r="C7" s="8" t="str">
        <x:v>First reminder</x:v>
      </x:c>
      <x:c r="D7" s="8" t="str">
        <x:v>Floored anchor</x:v>
      </x:c>
      <x:c r="E7" s="8" t="str">
        <x:v>Second reminder</x:v>
      </x:c>
      <x:c r="F7" s="8" t="str">
        <x:v>First EOD reminder</x:v>
      </x:c>
      <x:c r="G7" s="8" t="str">
        <x:v>Next recurring EOD</x:v>
      </x:c>
    </x:row>
    <x:row r="8" ht="29" customHeight="1">
      <x:c r="A8" s="2" t="str">
        <x:v>Before opening</x:v>
      </x:c>
      <x:c r="B8" s="12" t="d">
        <x:v>2026-10-12T07:59:00.000Z</x:v>
      </x:c>
      <x:c r="C8" s="13" t="n">
        <x:f>IF(B8="","",IF(WEEKDAY(B8,2)&gt;5,WORKDAY(INT(B8),1)+TIME(8,0,0),IF(HOUR(B8)&lt;8,INT(B8)+TIME(8,0,0),IF(HOUR(B8)&gt;=17,WORKDAY(INT(B8),1)+TIME(8,0,0),B8))))</x:f>
        <x:v>46307.333333333336</x:v>
      </x:c>
      <x:c r="D8" s="13" t="n">
        <x:f>IF(C8="","",INT(C8)+TIME(HOUR(C8),0,0))</x:f>
        <x:v>46307.333333333336</x:v>
      </x:c>
      <x:c r="E8" s="13" t="n">
        <x:f>IF(D8="","",IF(HOUR(C8)&lt;13,D8+TIME(4,0,0),WORKDAY(INT(D8),1)+TIME(8,0,0)))</x:f>
        <x:v>46307.5</x:v>
      </x:c>
      <x:c r="F8" s="13" t="n">
        <x:f>IF(E8="","",INT(E8)+TIME(17,0,0))</x:f>
        <x:v>46307.708333333336</x:v>
      </x:c>
      <x:c r="G8" s="13" t="n">
        <x:f>IF(F8="","",WORKDAY(INT(F8),1)+TIME(17,0,0))</x:f>
        <x:v>46308.708333333336</x:v>
      </x:c>
    </x:row>
    <x:row r="9" ht="29" customHeight="1">
      <x:c r="A9" s="2" t="str">
        <x:v>Opening</x:v>
      </x:c>
      <x:c r="B9" s="12" t="d">
        <x:v>2026-10-12T08:00:00.000Z</x:v>
      </x:c>
      <x:c r="C9" s="13" t="n">
        <x:f>IF(B9="","",IF(WEEKDAY(B9,2)&gt;5,WORKDAY(INT(B9),1)+TIME(8,0,0),IF(HOUR(B9)&lt;8,INT(B9)+TIME(8,0,0),IF(HOUR(B9)&gt;=17,WORKDAY(INT(B9),1)+TIME(8,0,0),B9))))</x:f>
        <x:v>46307.333333333336</x:v>
      </x:c>
      <x:c r="D9" s="13" t="n">
        <x:f>IF(C9="","",INT(C9)+TIME(HOUR(C9),0,0))</x:f>
        <x:v>46307.333333333336</x:v>
      </x:c>
      <x:c r="E9" s="13" t="n">
        <x:f>IF(D9="","",IF(HOUR(C9)&lt;13,D9+TIME(4,0,0),WORKDAY(INT(D9),1)+TIME(8,0,0)))</x:f>
        <x:v>46307.5</x:v>
      </x:c>
      <x:c r="F9" s="13" t="n">
        <x:f>IF(E9="","",INT(E9)+TIME(17,0,0))</x:f>
        <x:v>46307.708333333336</x:v>
      </x:c>
      <x:c r="G9" s="13" t="n">
        <x:f>IF(F9="","",WORKDAY(INT(F9),1)+TIME(17,0,0))</x:f>
        <x:v>46308.708333333336</x:v>
      </x:c>
    </x:row>
    <x:row r="10" ht="29" customHeight="1">
      <x:c r="A10" s="2" t="str">
        <x:v>Before 1 PM</x:v>
      </x:c>
      <x:c r="B10" s="12" t="d">
        <x:v>2026-10-12T12:45:00.000Z</x:v>
      </x:c>
      <x:c r="C10" s="13" t="n">
        <x:f>IF(B10="","",IF(WEEKDAY(B10,2)&gt;5,WORKDAY(INT(B10),1)+TIME(8,0,0),IF(HOUR(B10)&lt;8,INT(B10)+TIME(8,0,0),IF(HOUR(B10)&gt;=17,WORKDAY(INT(B10),1)+TIME(8,0,0),B10))))</x:f>
        <x:v>46307.53125</x:v>
      </x:c>
      <x:c r="D10" s="13" t="n">
        <x:f>IF(C10="","",INT(C10)+TIME(HOUR(C10),0,0))</x:f>
        <x:v>46307.5</x:v>
      </x:c>
      <x:c r="E10" s="13" t="n">
        <x:f>IF(D10="","",IF(HOUR(C10)&lt;13,D10+TIME(4,0,0),WORKDAY(INT(D10),1)+TIME(8,0,0)))</x:f>
        <x:v>46307.666666666664</x:v>
      </x:c>
      <x:c r="F10" s="13" t="n">
        <x:f>IF(E10="","",INT(E10)+TIME(17,0,0))</x:f>
        <x:v>46307.708333333336</x:v>
      </x:c>
      <x:c r="G10" s="13" t="n">
        <x:f>IF(F10="","",WORKDAY(INT(F10),1)+TIME(17,0,0))</x:f>
        <x:v>46308.708333333336</x:v>
      </x:c>
    </x:row>
    <x:row r="11" ht="29" customHeight="1">
      <x:c r="A11" s="2" t="str">
        <x:v>Exactly 1 PM</x:v>
      </x:c>
      <x:c r="B11" s="12" t="d">
        <x:v>2026-10-12T13:00:00.000Z</x:v>
      </x:c>
      <x:c r="C11" s="13" t="n">
        <x:f>IF(B11="","",IF(WEEKDAY(B11,2)&gt;5,WORKDAY(INT(B11),1)+TIME(8,0,0),IF(HOUR(B11)&lt;8,INT(B11)+TIME(8,0,0),IF(HOUR(B11)&gt;=17,WORKDAY(INT(B11),1)+TIME(8,0,0),B11))))</x:f>
        <x:v>46307.541666666664</x:v>
      </x:c>
      <x:c r="D11" s="13" t="n">
        <x:f>IF(C11="","",INT(C11)+TIME(HOUR(C11),0,0))</x:f>
        <x:v>46307.541666666664</x:v>
      </x:c>
      <x:c r="E11" s="13" t="n">
        <x:f>IF(D11="","",IF(HOUR(C11)&lt;13,D11+TIME(4,0,0),WORKDAY(INT(D11),1)+TIME(8,0,0)))</x:f>
        <x:v>46308.333333333336</x:v>
      </x:c>
      <x:c r="F11" s="13" t="n">
        <x:f>IF(E11="","",INT(E11)+TIME(17,0,0))</x:f>
        <x:v>46308.708333333336</x:v>
      </x:c>
      <x:c r="G11" s="13" t="n">
        <x:f>IF(F11="","",WORKDAY(INT(F11),1)+TIME(17,0,0))</x:f>
        <x:v>46309.708333333336</x:v>
      </x:c>
    </x:row>
    <x:row r="12" ht="29" customHeight="1">
      <x:c r="A12" s="2" t="str">
        <x:v>Late afternoon</x:v>
      </x:c>
      <x:c r="B12" s="12" t="d">
        <x:v>2026-10-12T16:59:00.000Z</x:v>
      </x:c>
      <x:c r="C12" s="13" t="n">
        <x:f>IF(B12="","",IF(WEEKDAY(B12,2)&gt;5,WORKDAY(INT(B12),1)+TIME(8,0,0),IF(HOUR(B12)&lt;8,INT(B12)+TIME(8,0,0),IF(HOUR(B12)&gt;=17,WORKDAY(INT(B12),1)+TIME(8,0,0),B12))))</x:f>
        <x:v>46307.70763888889</x:v>
      </x:c>
      <x:c r="D12" s="13" t="n">
        <x:f>IF(C12="","",INT(C12)+TIME(HOUR(C12),0,0))</x:f>
        <x:v>46307.666666666664</x:v>
      </x:c>
      <x:c r="E12" s="13" t="n">
        <x:f>IF(D12="","",IF(HOUR(C12)&lt;13,D12+TIME(4,0,0),WORKDAY(INT(D12),1)+TIME(8,0,0)))</x:f>
        <x:v>46308.333333333336</x:v>
      </x:c>
      <x:c r="F12" s="13" t="n">
        <x:f>IF(E12="","",INT(E12)+TIME(17,0,0))</x:f>
        <x:v>46308.708333333336</x:v>
      </x:c>
      <x:c r="G12" s="13" t="n">
        <x:f>IF(F12="","",WORKDAY(INT(F12),1)+TIME(17,0,0))</x:f>
        <x:v>46309.708333333336</x:v>
      </x:c>
    </x:row>
    <x:row r="13" ht="29" customHeight="1">
      <x:c r="A13" s="2" t="str">
        <x:v>At closing</x:v>
      </x:c>
      <x:c r="B13" s="12" t="d">
        <x:v>2026-10-12T17:00:00.000Z</x:v>
      </x:c>
      <x:c r="C13" s="13" t="n">
        <x:f>IF(B13="","",IF(WEEKDAY(B13,2)&gt;5,WORKDAY(INT(B13),1)+TIME(8,0,0),IF(HOUR(B13)&lt;8,INT(B13)+TIME(8,0,0),IF(HOUR(B13)&gt;=17,WORKDAY(INT(B13),1)+TIME(8,0,0),B13))))</x:f>
        <x:v>46308.333333333336</x:v>
      </x:c>
      <x:c r="D13" s="13" t="n">
        <x:f>IF(C13="","",INT(C13)+TIME(HOUR(C13),0,0))</x:f>
        <x:v>46308.333333333336</x:v>
      </x:c>
      <x:c r="E13" s="13" t="n">
        <x:f>IF(D13="","",IF(HOUR(C13)&lt;13,D13+TIME(4,0,0),WORKDAY(INT(D13),1)+TIME(8,0,0)))</x:f>
        <x:v>46308.5</x:v>
      </x:c>
      <x:c r="F13" s="13" t="n">
        <x:f>IF(E13="","",INT(E13)+TIME(17,0,0))</x:f>
        <x:v>46308.708333333336</x:v>
      </x:c>
      <x:c r="G13" s="13" t="n">
        <x:f>IF(F13="","",WORKDAY(INT(F13),1)+TIME(17,0,0))</x:f>
        <x:v>46309.708333333336</x:v>
      </x:c>
    </x:row>
    <x:row r="14" ht="29" customHeight="1">
      <x:c r="A14" s="2" t="str">
        <x:v>Friday afternoon</x:v>
      </x:c>
      <x:c r="B14" s="12" t="d">
        <x:v>2026-10-09T14:00:00.000Z</x:v>
      </x:c>
      <x:c r="C14" s="13" t="n">
        <x:f>IF(B14="","",IF(WEEKDAY(B14,2)&gt;5,WORKDAY(INT(B14),1)+TIME(8,0,0),IF(HOUR(B14)&lt;8,INT(B14)+TIME(8,0,0),IF(HOUR(B14)&gt;=17,WORKDAY(INT(B14),1)+TIME(8,0,0),B14))))</x:f>
        <x:v>46304.583333333336</x:v>
      </x:c>
      <x:c r="D14" s="13" t="n">
        <x:f>IF(C14="","",INT(C14)+TIME(HOUR(C14),0,0))</x:f>
        <x:v>46304.583333333336</x:v>
      </x:c>
      <x:c r="E14" s="13" t="n">
        <x:f>IF(D14="","",IF(HOUR(C14)&lt;13,D14+TIME(4,0,0),WORKDAY(INT(D14),1)+TIME(8,0,0)))</x:f>
        <x:v>46307.333333333336</x:v>
      </x:c>
      <x:c r="F14" s="13" t="n">
        <x:f>IF(E14="","",INT(E14)+TIME(17,0,0))</x:f>
        <x:v>46307.708333333336</x:v>
      </x:c>
      <x:c r="G14" s="13" t="n">
        <x:f>IF(F14="","",WORKDAY(INT(F14),1)+TIME(17,0,0))</x:f>
        <x:v>46308.708333333336</x:v>
      </x:c>
    </x:row>
    <x:row r="15" ht="29" customHeight="1">
      <x:c r="A15" s="2" t="str">
        <x:v>Weekend</x:v>
      </x:c>
      <x:c r="B15" s="12" t="d">
        <x:v>2026-10-10T10:00:00.000Z</x:v>
      </x:c>
      <x:c r="C15" s="13" t="n">
        <x:f>IF(B15="","",IF(WEEKDAY(B15,2)&gt;5,WORKDAY(INT(B15),1)+TIME(8,0,0),IF(HOUR(B15)&lt;8,INT(B15)+TIME(8,0,0),IF(HOUR(B15)&gt;=17,WORKDAY(INT(B15),1)+TIME(8,0,0),B15))))</x:f>
        <x:v>46307.333333333336</x:v>
      </x:c>
      <x:c r="D15" s="13" t="n">
        <x:f>IF(C15="","",INT(C15)+TIME(HOUR(C15),0,0))</x:f>
        <x:v>46307.333333333336</x:v>
      </x:c>
      <x:c r="E15" s="13" t="n">
        <x:f>IF(D15="","",IF(HOUR(C15)&lt;13,D15+TIME(4,0,0),WORKDAY(INT(D15),1)+TIME(8,0,0)))</x:f>
        <x:v>46307.5</x:v>
      </x:c>
      <x:c r="F15" s="13" t="n">
        <x:f>IF(E15="","",INT(E15)+TIME(17,0,0))</x:f>
        <x:v>46307.708333333336</x:v>
      </x:c>
      <x:c r="G15" s="13" t="n">
        <x:f>IF(F15="","",WORKDAY(INT(F15),1)+TIME(17,0,0))</x:f>
        <x:v>46308.708333333336</x:v>
      </x:c>
    </x:row>
    <x:row r="16">
      <x:c r="A16" s="2"/>
      <x:c r="B16" s="2"/>
      <x:c r="C16" s="2"/>
      <x:c r="D16" s="2"/>
      <x:c r="E16" s="2"/>
      <x:c r="F16" s="2"/>
      <x:c r="G16" s="2"/>
    </x:row>
    <x:row r="17">
      <x:c r="A17" s="2"/>
      <x:c r="B17" s="2"/>
      <x:c r="C17" s="2"/>
      <x:c r="D17" s="2"/>
      <x:c r="E17" s="2"/>
      <x:c r="F17" s="2"/>
      <x:c r="G17" s="2"/>
    </x:row>
    <x:row r="18">
      <x:c r="A18" s="2" t="str">
        <x:v>Stop future reminders as soon as this approval stage is resolved.</x:v>
      </x:c>
      <x:c r="B18" s="2"/>
      <x:c r="C18" s="2"/>
      <x:c r="D18" s="2"/>
      <x:c r="E18" s="2"/>
      <x:c r="F18" s="2"/>
      <x:c r="G18" s="2"/>
    </x:row>
    <x:row r="19">
      <x:c r="A19" s="2" t="str">
        <x:v>Existing pending documents do not receive a deployment-time reminder sequence.</x:v>
      </x:c>
      <x:c r="B19" s="2"/>
      <x:c r="C19" s="2"/>
      <x:c r="D19" s="2"/>
      <x:c r="E19" s="2"/>
      <x:c r="F19" s="2"/>
      <x:c r="G19" s="2"/>
    </x:row>
    <x:row r="20">
      <x:c r="A20" s="2"/>
      <x:c r="B20" s="2"/>
      <x:c r="C20" s="2"/>
      <x:c r="D20" s="2"/>
      <x:c r="E20" s="2"/>
      <x:c r="F20" s="2"/>
      <x:c r="G20" s="2"/>
    </x:row>
    <x:row r="21">
      <x:c r="A21" s="2" t="str">
        <x:v>Source: approved reminder rules and purchasing approval stages, October 8, 2026.</x:v>
      </x:c>
      <x:c r="B21" s="2"/>
      <x:c r="C21" s="2"/>
      <x:c r="D21" s="2"/>
      <x:c r="E21" s="2"/>
      <x:c r="F21" s="2"/>
      <x:c r="G21" s="2"/>
    </x:row>
    <x:row r="22">
      <x:c r="A22" s="2"/>
      <x:c r="B22" s="2"/>
      <x:c r="C22" s="2"/>
      <x:c r="D22" s="2"/>
      <x:c r="E22" s="2"/>
      <x:c r="F22" s="2"/>
      <x:c r="G22" s="2"/>
    </x:row>
    <x:row r="23">
      <x:c r="A23" s="2"/>
      <x:c r="B23" s="2"/>
      <x:c r="C23" s="2"/>
      <x:c r="D23" s="2"/>
      <x:c r="E23" s="2"/>
      <x:c r="F23" s="2"/>
      <x:c r="G23" s="2"/>
    </x:row>
    <x:row r="24">
      <x:c r="A24" s="2"/>
      <x:c r="B24" s="2"/>
      <x:c r="C24" s="2"/>
      <x:c r="D24" s="2"/>
      <x:c r="E24" s="2"/>
      <x:c r="F24" s="2"/>
      <x:c r="G24" s="2"/>
    </x:row>
    <x:row r="25">
      <x:c r="A25" s="2"/>
      <x:c r="B25" s="2"/>
      <x:c r="C25" s="2"/>
      <x:c r="D25" s="2"/>
      <x:c r="E25" s="2"/>
      <x:c r="F25" s="2"/>
      <x:c r="G25" s="2"/>
    </x:row>
    <x:row r="26">
      <x:c r="A26" s="2"/>
      <x:c r="B26" s="2"/>
      <x:c r="C26" s="2"/>
      <x:c r="D26" s="2"/>
      <x:c r="E26" s="2"/>
      <x:c r="F26" s="2"/>
      <x:c r="G26" s="2"/>
    </x:row>
    <x:row r="27">
      <x:c r="A27" s="2"/>
      <x:c r="B27" s="2"/>
      <x:c r="C27" s="2"/>
      <x:c r="D27" s="2"/>
      <x:c r="E27" s="2"/>
      <x:c r="F27" s="2"/>
      <x:c r="G27" s="2"/>
    </x:row>
    <x:row r="28">
      <x:c r="A28" s="2"/>
      <x:c r="B28" s="2"/>
      <x:c r="C28" s="2"/>
      <x:c r="D28" s="2"/>
      <x:c r="E28" s="2"/>
      <x:c r="F28" s="2"/>
      <x:c r="G28" s="2"/>
    </x:row>
    <x:row r="29">
      <x:c r="A29" s="2"/>
      <x:c r="B29" s="2"/>
      <x:c r="C29" s="2"/>
      <x:c r="D29" s="2"/>
      <x:c r="E29" s="2"/>
      <x:c r="F29" s="2"/>
      <x:c r="G29" s="2"/>
    </x:row>
    <x:row r="30">
      <x:c r="A30" s="2"/>
      <x:c r="B30" s="2"/>
      <x:c r="C30" s="2"/>
      <x:c r="D30" s="2"/>
      <x:c r="E30" s="2"/>
      <x:c r="F30" s="2"/>
      <x:c r="G30" s="2"/>
    </x:row>
  </x:sheetData>
  <x:pageMargins left="0.7" right="0.7" top="0.75" bottom="0.75" header="0.3" footer="0.3"/>
</x:worksheet>
</file>